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" sheetId="1" r:id="rId5"/>
    <sheet state="visible" name="IPPEXPN" sheetId="2" r:id="rId6"/>
    <sheet state="visible" name="Question 1" sheetId="3" r:id="rId7"/>
    <sheet state="visible" name="Question 2" sheetId="4" r:id="rId8"/>
    <sheet state="visible" name="Question 3" sheetId="5" r:id="rId9"/>
    <sheet state="visible" name="Question 5" sheetId="6" r:id="rId10"/>
  </sheets>
  <definedNames/>
  <calcPr/>
</workbook>
</file>

<file path=xl/sharedStrings.xml><?xml version="1.0" encoding="utf-8"?>
<sst xmlns="http://schemas.openxmlformats.org/spreadsheetml/2006/main" count="58" uniqueCount="35">
  <si>
    <t>MASDC#</t>
  </si>
  <si>
    <t>MASCNM</t>
  </si>
  <si>
    <t>MASLC1</t>
  </si>
  <si>
    <t>MASLC2</t>
  </si>
  <si>
    <t>MASLC3</t>
  </si>
  <si>
    <t>MASSOFF</t>
  </si>
  <si>
    <t>John Smith</t>
  </si>
  <si>
    <t>C</t>
  </si>
  <si>
    <t>Facility A</t>
  </si>
  <si>
    <t>Unit 1</t>
  </si>
  <si>
    <t>Robert Lee</t>
  </si>
  <si>
    <t>A</t>
  </si>
  <si>
    <t>Facility B</t>
  </si>
  <si>
    <t>Unit 3</t>
  </si>
  <si>
    <t xml:space="preserve">Michael Brown </t>
  </si>
  <si>
    <t>B</t>
  </si>
  <si>
    <t>Unit 2</t>
  </si>
  <si>
    <t>David Johnson</t>
  </si>
  <si>
    <t>Facility C</t>
  </si>
  <si>
    <t>James Wilson</t>
  </si>
  <si>
    <t>Faciliy B</t>
  </si>
  <si>
    <t>Kevin Martin</t>
  </si>
  <si>
    <t>Unit 4</t>
  </si>
  <si>
    <t>Daniel Anderson</t>
  </si>
  <si>
    <t>Facility D</t>
  </si>
  <si>
    <t>Alex Han</t>
  </si>
  <si>
    <t>EXPNDCN</t>
  </si>
  <si>
    <t>EXPNDSC</t>
  </si>
  <si>
    <t>EXPNNCR</t>
  </si>
  <si>
    <t>EXPPSTAT</t>
  </si>
  <si>
    <t>Sex Offender</t>
  </si>
  <si>
    <t>I</t>
  </si>
  <si>
    <t>Traffic Violation</t>
  </si>
  <si>
    <t>Shoplifting</t>
  </si>
  <si>
    <t>Weapon Offenses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</si>
</sst>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MASTE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PPEXP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9" displayName="MASTER" name="MASTER" id="1">
  <tableColumns count="6">
    <tableColumn name="MASDC#" id="1"/>
    <tableColumn name="MASCNM" id="2"/>
    <tableColumn name="MASLC1" id="3"/>
    <tableColumn name="MASLC2" id="4"/>
    <tableColumn name="MASLC3" id="5"/>
    <tableColumn name="MASSOFF" id="6"/>
  </tableColumns>
  <tableStyleInfo name="MASTER-style" showColumnStripes="0" showFirstColumn="1" showLastColumn="1" showRowStripes="1"/>
</table>
</file>

<file path=xl/tables/table2.xml><?xml version="1.0" encoding="utf-8"?>
<table xmlns="http://schemas.openxmlformats.org/spreadsheetml/2006/main" ref="A1:D9" displayName="IPPEXPN" name="IPPEXPN" id="2">
  <tableColumns count="4">
    <tableColumn name="EXPNDCN" id="1"/>
    <tableColumn name="EXPNDSC" id="2"/>
    <tableColumn name="EXPNNCR" id="3"/>
    <tableColumn name="EXPPSTAT" id="4"/>
  </tableColumns>
  <tableStyleInfo name="IPPEXP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5.75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</row>
    <row r="2" ht="22.5" customHeight="1">
      <c r="A2" s="3">
        <v>1001.0</v>
      </c>
      <c r="B2" s="3" t="s">
        <v>6</v>
      </c>
      <c r="C2" s="3" t="s">
        <v>7</v>
      </c>
      <c r="D2" s="3" t="s">
        <v>8</v>
      </c>
      <c r="E2" s="3" t="s">
        <v>9</v>
      </c>
      <c r="F2" s="3">
        <v>1.0</v>
      </c>
      <c r="H2" s="4"/>
    </row>
    <row r="3" ht="22.5" customHeight="1">
      <c r="A3" s="3">
        <v>1002.0</v>
      </c>
      <c r="B3" s="3" t="s">
        <v>10</v>
      </c>
      <c r="C3" s="3" t="s">
        <v>11</v>
      </c>
      <c r="D3" s="3" t="s">
        <v>12</v>
      </c>
      <c r="E3" s="3" t="s">
        <v>13</v>
      </c>
      <c r="F3" s="3">
        <v>1.0</v>
      </c>
    </row>
    <row r="4" ht="22.5" customHeight="1">
      <c r="A4" s="3">
        <v>1003.0</v>
      </c>
      <c r="B4" s="3" t="s">
        <v>14</v>
      </c>
      <c r="C4" s="3" t="s">
        <v>15</v>
      </c>
      <c r="D4" s="3" t="s">
        <v>8</v>
      </c>
      <c r="E4" s="3" t="s">
        <v>16</v>
      </c>
      <c r="F4" s="3">
        <v>0.0</v>
      </c>
    </row>
    <row r="5" ht="22.5" customHeight="1">
      <c r="A5" s="3">
        <v>1004.0</v>
      </c>
      <c r="B5" s="3" t="s">
        <v>17</v>
      </c>
      <c r="C5" s="3" t="s">
        <v>11</v>
      </c>
      <c r="D5" s="3" t="s">
        <v>18</v>
      </c>
      <c r="E5" s="3" t="s">
        <v>9</v>
      </c>
      <c r="F5" s="3">
        <v>0.0</v>
      </c>
    </row>
    <row r="6" ht="22.5" customHeight="1">
      <c r="A6" s="3">
        <v>1005.0</v>
      </c>
      <c r="B6" s="3" t="s">
        <v>19</v>
      </c>
      <c r="C6" s="3" t="s">
        <v>15</v>
      </c>
      <c r="D6" s="3" t="s">
        <v>20</v>
      </c>
      <c r="E6" s="3" t="s">
        <v>16</v>
      </c>
      <c r="F6" s="3">
        <v>1.0</v>
      </c>
    </row>
    <row r="7" ht="22.5" customHeight="1">
      <c r="A7" s="3">
        <v>1006.0</v>
      </c>
      <c r="B7" s="3" t="s">
        <v>21</v>
      </c>
      <c r="C7" s="3" t="s">
        <v>15</v>
      </c>
      <c r="D7" s="3" t="s">
        <v>18</v>
      </c>
      <c r="E7" s="3" t="s">
        <v>22</v>
      </c>
      <c r="F7" s="3">
        <v>1.0</v>
      </c>
    </row>
    <row r="8" ht="22.5" customHeight="1">
      <c r="A8" s="3">
        <v>1007.0</v>
      </c>
      <c r="B8" s="3" t="s">
        <v>23</v>
      </c>
      <c r="C8" s="3" t="s">
        <v>11</v>
      </c>
      <c r="D8" s="3" t="s">
        <v>24</v>
      </c>
      <c r="E8" s="3" t="s">
        <v>13</v>
      </c>
      <c r="F8" s="3">
        <v>1.0</v>
      </c>
    </row>
    <row r="9" ht="22.5" customHeight="1">
      <c r="A9" s="3">
        <v>1008.0</v>
      </c>
      <c r="B9" s="3" t="s">
        <v>25</v>
      </c>
      <c r="C9" s="3" t="s">
        <v>11</v>
      </c>
      <c r="D9" s="3" t="s">
        <v>8</v>
      </c>
      <c r="E9" s="3" t="s">
        <v>16</v>
      </c>
      <c r="F9" s="3">
        <v>1.0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38"/>
    <col customWidth="1" min="3" max="3" width="15.13"/>
    <col customWidth="1" min="4" max="4" width="15.88"/>
  </cols>
  <sheetData>
    <row r="1" ht="22.5" customHeight="1">
      <c r="A1" s="1" t="s">
        <v>26</v>
      </c>
      <c r="B1" s="1" t="s">
        <v>27</v>
      </c>
      <c r="C1" s="1" t="s">
        <v>28</v>
      </c>
      <c r="D1" s="1" t="s">
        <v>29</v>
      </c>
    </row>
    <row r="2" ht="22.5" customHeight="1">
      <c r="A2" s="3">
        <v>1001.0</v>
      </c>
      <c r="B2" s="3" t="s">
        <v>30</v>
      </c>
      <c r="C2" s="3">
        <v>1.0</v>
      </c>
      <c r="D2" s="3" t="s">
        <v>31</v>
      </c>
    </row>
    <row r="3" ht="22.5" customHeight="1">
      <c r="A3" s="3">
        <v>1002.0</v>
      </c>
      <c r="B3" s="3" t="s">
        <v>32</v>
      </c>
      <c r="C3" s="3">
        <v>0.0</v>
      </c>
      <c r="D3" s="3" t="s">
        <v>7</v>
      </c>
    </row>
    <row r="4" ht="22.5" customHeight="1">
      <c r="A4" s="3">
        <v>1003.0</v>
      </c>
      <c r="B4" s="3" t="s">
        <v>33</v>
      </c>
      <c r="C4" s="3">
        <v>0.0</v>
      </c>
      <c r="D4" s="3" t="s">
        <v>7</v>
      </c>
    </row>
    <row r="5" ht="22.5" customHeight="1">
      <c r="A5" s="3">
        <v>1004.0</v>
      </c>
      <c r="B5" s="3" t="s">
        <v>34</v>
      </c>
      <c r="C5" s="3">
        <v>0.0</v>
      </c>
      <c r="D5" s="3" t="s">
        <v>31</v>
      </c>
    </row>
    <row r="6" ht="22.5" customHeight="1">
      <c r="A6" s="3">
        <v>1005.0</v>
      </c>
      <c r="B6" s="3" t="s">
        <v>30</v>
      </c>
      <c r="C6" s="3">
        <v>1.0</v>
      </c>
      <c r="D6" s="3" t="s">
        <v>31</v>
      </c>
    </row>
    <row r="7" ht="22.5" customHeight="1">
      <c r="A7" s="3">
        <v>1006.0</v>
      </c>
      <c r="B7" s="3" t="s">
        <v>30</v>
      </c>
      <c r="C7" s="3">
        <v>1.0</v>
      </c>
      <c r="D7" s="3" t="s">
        <v>31</v>
      </c>
    </row>
    <row r="8" ht="22.5" customHeight="1">
      <c r="A8" s="3">
        <v>1007.0</v>
      </c>
      <c r="B8" s="3" t="s">
        <v>30</v>
      </c>
      <c r="C8" s="3">
        <v>0.0</v>
      </c>
      <c r="D8" s="3" t="s">
        <v>7</v>
      </c>
    </row>
    <row r="9" ht="22.5" customHeight="1">
      <c r="A9" s="3">
        <v>1008.0</v>
      </c>
      <c r="B9" s="3" t="s">
        <v>32</v>
      </c>
      <c r="C9" s="3">
        <v>0.0</v>
      </c>
      <c r="D9" s="3" t="s">
        <v>7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IFERROR(__xludf.DUMMYFUNCTION("FILTER(
  MASTER!B2:B1005,
  MASTER!F2:F1005 = 1,
  MASTER!C2:C1005 = ""A"",
    MATCH(
      MASTER!A2:A1005,
      FILTER(
        IPPEXPN!A2:A1005,
        IPPEXPN!C2:C1005 = 1,
        REGEXMATCH(IPPEXPN!B2:B1005, ""Sex Offender"")
      )
  )
)
"),"Robert Lee")</f>
        <v>Robert Lee</v>
      </c>
    </row>
    <row r="2">
      <c r="A2" s="5" t="str">
        <f>IFERROR(__xludf.DUMMYFUNCTION("""COMPUTED_VALUE"""),"Daniel Anderson")</f>
        <v>Daniel Anderson</v>
      </c>
    </row>
    <row r="3">
      <c r="A3" s="5" t="str">
        <f>IFERROR(__xludf.DUMMYFUNCTION("""COMPUTED_VALUE"""),"Alex Han")</f>
        <v>Alex Han</v>
      </c>
    </row>
    <row r="7">
      <c r="A7" s="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IFERROR(__xludf.DUMMYFUNCTION("QUERY(
  FILTER(
    {
      MASTER!D2:D1000,
      MASTER!A2:A1000
    },
    MASTER!F2:F1000 = 1,
    MASTER!C2:C1000 = ""A"",
    MATCH(
      MASTER!A2:A1000,
      FILTER(
        IPPEXPN!A2:A1000,
        IPPEXPN!C2:C1000 = 1,
        IPPEXPN!D2:D10"&amp;"00 &lt;&gt; 1,
        REGEXMATCH(IPPEXPN!B2:B1000, ""Sex Offender"")
      )
    )
  ),
  ""SELECT Col1, COUNT(Col2)
   GROUP BY Col1
   LABEL Col1 'Facility',
         COUNT(Col2) 'Offenders Without Credit'""
)"),"Facility")</f>
        <v>Facility</v>
      </c>
      <c r="B1" s="5" t="str">
        <f>IFERROR(__xludf.DUMMYFUNCTION("""COMPUTED_VALUE"""),"Offenders Without Credit")</f>
        <v>Offenders Without Credit</v>
      </c>
    </row>
    <row r="2">
      <c r="A2" s="5" t="str">
        <f>IFERROR(__xludf.DUMMYFUNCTION("""COMPUTED_VALUE"""),"Facility A")</f>
        <v>Facility A</v>
      </c>
      <c r="B2" s="5">
        <f>IFERROR(__xludf.DUMMYFUNCTION("""COMPUTED_VALUE"""),1.0)</f>
        <v>1</v>
      </c>
    </row>
    <row r="3">
      <c r="A3" s="5" t="str">
        <f>IFERROR(__xludf.DUMMYFUNCTION("""COMPUTED_VALUE"""),"Facility B")</f>
        <v>Facility B</v>
      </c>
      <c r="B3" s="5">
        <f>IFERROR(__xludf.DUMMYFUNCTION("""COMPUTED_VALUE"""),1.0)</f>
        <v>1</v>
      </c>
    </row>
    <row r="4">
      <c r="A4" s="5" t="str">
        <f>IFERROR(__xludf.DUMMYFUNCTION("""COMPUTED_VALUE"""),"Facility D")</f>
        <v>Facility D</v>
      </c>
      <c r="B4" s="5">
        <f>IFERROR(__xludf.DUMMYFUNCTION("""COMPUTED_VALUE"""),1.0)</f>
        <v>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IFERROR(__xludf.DUMMYFUNCTION("QUERY(
  FILTER(
    {
      MASTER!D2:D1000,
      MASTER!A2:A1000
    },
    MASTER!F2:F1000 = 1,
    MASTER!C2:C1000 = ""A"",
    MATCH(
      MASTER!A2:A1000,
      FILTER(
        IPPEXPN!A2:A1000,
        IPPEXPN!C2:C1000 = 1,
        REGEXMATCH(IPP"&amp;"EXPN!B2:B1000, ""Sex Offender"")
      )
    )
  ),
  ""SELECT Col1, COUNT(Col2)
   GROUP BY Col1
   ORDER BY COUNT(Col2) DESC
   LIMIT 1
   LABEL Col1 'Facility',
         COUNT(Col2) 'Sex Offenders In Progress'"",
  0
)
"),"Facility")</f>
        <v>Facility</v>
      </c>
      <c r="B1" s="5" t="str">
        <f>IFERROR(__xludf.DUMMYFUNCTION("""COMPUTED_VALUE"""),"Sex Offenders In Progress")</f>
        <v>Sex Offenders In Progress</v>
      </c>
    </row>
    <row r="2">
      <c r="A2" s="5" t="str">
        <f>IFERROR(__xludf.DUMMYFUNCTION("""COMPUTED_VALUE"""),"Facility A")</f>
        <v>Facility A</v>
      </c>
      <c r="B2" s="5">
        <f>IFERROR(__xludf.DUMMYFUNCTION("""COMPUTED_VALUE"""),1.0)</f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IFERROR(__xludf.DUMMYFUNCTION("QUERY(
  FILTER(
    {
      MASTER!D2:D1000,
      MASTER!A2:A1000
    },
    MASTER!F2:F1000 = 1,
    MASTER!C2:C1000 = ""A"",
    MATCH(
      MASTER!A2:A1000,
      FILTER(
        IPPEXPN!A2:A1000,
        REGEXMATCH(IPPEXPN!B2:B1000,""Sex Offender"""&amp;")
      )
    )
  ),
  ""SELECT Col1, COUNT(Col2)
   GROUP BY Col1
   LABEL Col1 'Facility',
         COUNT(Col2) 'Total Enrolled'""
)
"),"Facility")</f>
        <v>Facility</v>
      </c>
      <c r="B1" s="5" t="str">
        <f>IFERROR(__xludf.DUMMYFUNCTION("""COMPUTED_VALUE"""),"Total Enrolled")</f>
        <v>Total Enrolled</v>
      </c>
    </row>
    <row r="2">
      <c r="A2" s="5" t="str">
        <f>IFERROR(__xludf.DUMMYFUNCTION("""COMPUTED_VALUE"""),"Facility A")</f>
        <v>Facility A</v>
      </c>
      <c r="B2" s="5">
        <f>IFERROR(__xludf.DUMMYFUNCTION("""COMPUTED_VALUE"""),1.0)</f>
        <v>1</v>
      </c>
    </row>
    <row r="3">
      <c r="A3" s="5" t="str">
        <f>IFERROR(__xludf.DUMMYFUNCTION("""COMPUTED_VALUE"""),"Facility B")</f>
        <v>Facility B</v>
      </c>
      <c r="B3" s="5">
        <f>IFERROR(__xludf.DUMMYFUNCTION("""COMPUTED_VALUE"""),1.0)</f>
        <v>1</v>
      </c>
    </row>
    <row r="4">
      <c r="A4" s="5" t="str">
        <f>IFERROR(__xludf.DUMMYFUNCTION("""COMPUTED_VALUE"""),"Facility D")</f>
        <v>Facility D</v>
      </c>
      <c r="B4" s="5">
        <f>IFERROR(__xludf.DUMMYFUNCTION("""COMPUTED_VALUE"""),1.0)</f>
        <v>1</v>
      </c>
    </row>
  </sheetData>
  <drawing r:id="rId1"/>
</worksheet>
</file>