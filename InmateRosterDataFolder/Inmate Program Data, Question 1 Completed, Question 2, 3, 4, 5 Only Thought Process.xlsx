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IPPEXPN" sheetId="2" r:id="rId6"/>
    <sheet state="visible" name="Question 1" sheetId="3" r:id="rId7"/>
    <sheet state="visible" name="Question 2" sheetId="4" r:id="rId8"/>
    <sheet state="visible" name="Question 3" sheetId="5" r:id="rId9"/>
    <sheet state="visible" name="Question 4" sheetId="6" r:id="rId10"/>
    <sheet state="visible" name="Question 5" sheetId="7" r:id="rId11"/>
  </sheets>
  <definedNames/>
  <calcPr/>
</workbook>
</file>

<file path=xl/sharedStrings.xml><?xml version="1.0" encoding="utf-8"?>
<sst xmlns="http://schemas.openxmlformats.org/spreadsheetml/2006/main" count="77" uniqueCount="52">
  <si>
    <t>MASDC#</t>
  </si>
  <si>
    <t>MASCNM</t>
  </si>
  <si>
    <t>MASLC1</t>
  </si>
  <si>
    <t>MASLC2</t>
  </si>
  <si>
    <t>MASLC3</t>
  </si>
  <si>
    <t>MASSOFF</t>
  </si>
  <si>
    <t>John Smith</t>
  </si>
  <si>
    <t>C</t>
  </si>
  <si>
    <t>Facility A</t>
  </si>
  <si>
    <t>Unit 1</t>
  </si>
  <si>
    <t>Robert Lee</t>
  </si>
  <si>
    <t>A</t>
  </si>
  <si>
    <t>Facility B</t>
  </si>
  <si>
    <t>Unit 3</t>
  </si>
  <si>
    <t xml:space="preserve">Michael Brown </t>
  </si>
  <si>
    <t>B</t>
  </si>
  <si>
    <t>Unit 2</t>
  </si>
  <si>
    <t>David Johnson</t>
  </si>
  <si>
    <t>Facility C</t>
  </si>
  <si>
    <t>James Wilson</t>
  </si>
  <si>
    <t>Faciliy B</t>
  </si>
  <si>
    <t>Kevin Martin</t>
  </si>
  <si>
    <t>Unit 4</t>
  </si>
  <si>
    <t>Daniel Anderson</t>
  </si>
  <si>
    <t>Facility D</t>
  </si>
  <si>
    <t>Alex Han</t>
  </si>
  <si>
    <t>EXPNDCN</t>
  </si>
  <si>
    <t>EXPNDSC</t>
  </si>
  <si>
    <t>EXPNNCR</t>
  </si>
  <si>
    <t>EXPPSTAT</t>
  </si>
  <si>
    <t>Sex Offender</t>
  </si>
  <si>
    <t>I</t>
  </si>
  <si>
    <t>Traffic Violation</t>
  </si>
  <si>
    <t>Shoplifting</t>
  </si>
  <si>
    <t>Weapon Offenses</t>
  </si>
  <si>
    <t>Question: We need a list of currently incarcerated Sex Offenders currently enrolled in the required Sex Offender training program.  
Hint: Location part 1 (MASLC1) will = "A" when in a Correctional Facility. MASSOFF will = 1 if they're a Sex Offender. EXPPSTAT will = 'I' when in progress </t>
  </si>
  <si>
    <t>Thought Process:
Find the inmate name.
Keep only Sex Offenders
Keeps inmates currently housed in a correctional facility
The fllter function will produces a list of Inmate IDs who:
Are in progress (EXPPSTAT = 1)
Are enrolled in a Sex Offender program.
The match function will checks whether each inmate in MASTER appears in that filtered list.
If found then returns a number.</t>
  </si>
  <si>
    <t xml:space="preserve">Result (Click on Cell A13 to show SQL query): </t>
  </si>
  <si>
    <t>Question: We want to know the count of how many offenders in each facility have not received credit for completing the required training.   
Hint: EXPNNCR will equal 1 if credit was awarded. </t>
  </si>
  <si>
    <t>Thought Process:
Creates a two-column virtual table using MASTER!D2:D,MASTER!A2:A
Removes all non-Sex Offenders
Keeps inmates currently housed in a correctional facility
Produce a list of Inmate IDs who:
Are currently in progress (EXPPSTAT = 1)
Are enrolled in a Sex Offender program
Have NOT received credit (EXPNNCR ≠ 1)
Checks each inmate in MASTER
Keeps only inmates who appear in the program list
Groups offenders by Facility
Counts how many offenders are in each group
Create new label and display new header with data</t>
  </si>
  <si>
    <t>Needed Clarification Questions:
Is MASSOFF = 1 the only indicator used to classify an inmate as a Sex Offender, or are there additional flags or categories that should be considered?</t>
  </si>
  <si>
    <t>Result:
Only thought process, not able to produce query.</t>
  </si>
  <si>
    <t xml:space="preserve">Question: List of facilities with the highest number of Sex Offenders currently in progress. 
Hint: To find the facilities with the highest number of Sex Offenders currently in progress, you may want to use a combination of SQL clauses to group the data appropriately and identify the facility with the most inmates in the 'in progress' status. </t>
  </si>
  <si>
    <t>Thought Process: 
Creates a two-column virtual table using MASTER!D2:D,MASTER!A2:A
Removes all non-Sex Offenders
Keeps inmates currently housed in a correctional facility
Produce a list of Inmate IDs who:
Are currently in progress (EXPPSTAT = 1)
Are enrolled in a Sex Offender program</t>
  </si>
  <si>
    <t>Needed Clarification Questions:
How do we remove all non-Sex Offencers?
How to produce a list of inmate with their ID?</t>
  </si>
  <si>
    <t>Question: List all inmates who have completed at least one Sex Offender Program, along with their names and the total number of programs they've completed.
Hint: To identify inmates who have completed at least one program, consider using an appropriate aggregate function and a HAVING clause.</t>
  </si>
  <si>
    <t>Thought Process: 
the question is asking summary by inmate.
Go to IPPEXPN to find completions.
Then connect those results to MASTER to get names</t>
  </si>
  <si>
    <t>Needed Clarification Questions:
How is completed program defined?
Should repeated program completions be counted separately?</t>
  </si>
  <si>
    <t>Result:
Only thought process, not able to find result for this question</t>
  </si>
  <si>
    <t>The percentage of offenders who have received credit for completing the required training by facility. 
Hint: You'll need to use SQL to identify consecutive sequences of 'C' status for each Sex Offender and then find the longest streak.</t>
  </si>
  <si>
    <t>Thought Process:
The question asks for a percentage by facility, which means comparing two counts.
Numerator: offenders who received credit for completing required training
Denominator: offenders who were required / enrolled in that training
Decide who counts:
Only Sex Offenders
Only offenders associated with a facility
Only offenders who were part of the required training</t>
  </si>
  <si>
    <t>Needed Clarification Questions:
What defines the required training?
How should offenders with multiple enrollments be treated?
How should missing or inconsistent data be handled?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</si>
</sst>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xf borderId="0" fillId="0" fontId="1"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MASTER-style">
      <tableStyleElement dxfId="1" type="headerRow"/>
      <tableStyleElement dxfId="2" type="firstRowStripe"/>
      <tableStyleElement dxfId="3" type="secondRowStripe"/>
      <tableStyleElement dxfId="4" size="0" type="wholeTable"/>
    </tableStyle>
    <tableStyle count="4" pivot="0" name="IPPEXP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9" displayName="MASTER" name="MASTER" id="1">
  <tableColumns count="6">
    <tableColumn name="MASDC#" id="1"/>
    <tableColumn name="MASCNM" id="2"/>
    <tableColumn name="MASLC1" id="3"/>
    <tableColumn name="MASLC2" id="4"/>
    <tableColumn name="MASLC3" id="5"/>
    <tableColumn name="MASSOFF" id="6"/>
  </tableColumns>
  <tableStyleInfo name="MASTER-style" showColumnStripes="0" showFirstColumn="1" showLastColumn="1" showRowStripes="1"/>
</table>
</file>

<file path=xl/tables/table2.xml><?xml version="1.0" encoding="utf-8"?>
<table xmlns="http://schemas.openxmlformats.org/spreadsheetml/2006/main" ref="A1:D9" displayName="IPPEXPN" name="IPPEXPN" id="2">
  <tableColumns count="4">
    <tableColumn name="EXPNDCN" id="1"/>
    <tableColumn name="EXPNDSC" id="2"/>
    <tableColumn name="EXPNNCR" id="3"/>
    <tableColumn name="EXPPSTAT" id="4"/>
  </tableColumns>
  <tableStyleInfo name="IPPEXP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75"/>
  </cols>
  <sheetData>
    <row r="1" ht="22.5" customHeight="1">
      <c r="A1" s="1" t="s">
        <v>0</v>
      </c>
      <c r="B1" s="1" t="s">
        <v>1</v>
      </c>
      <c r="C1" s="1" t="s">
        <v>2</v>
      </c>
      <c r="D1" s="2" t="s">
        <v>3</v>
      </c>
      <c r="E1" s="2" t="s">
        <v>4</v>
      </c>
      <c r="F1" s="1" t="s">
        <v>5</v>
      </c>
    </row>
    <row r="2" ht="22.5" customHeight="1">
      <c r="A2" s="3">
        <v>1001.0</v>
      </c>
      <c r="B2" s="3" t="s">
        <v>6</v>
      </c>
      <c r="C2" s="3" t="s">
        <v>7</v>
      </c>
      <c r="D2" s="3" t="s">
        <v>8</v>
      </c>
      <c r="E2" s="3" t="s">
        <v>9</v>
      </c>
      <c r="F2" s="3">
        <v>1.0</v>
      </c>
      <c r="H2" s="4"/>
    </row>
    <row r="3" ht="22.5" customHeight="1">
      <c r="A3" s="3">
        <v>1002.0</v>
      </c>
      <c r="B3" s="3" t="s">
        <v>10</v>
      </c>
      <c r="C3" s="3" t="s">
        <v>11</v>
      </c>
      <c r="D3" s="3" t="s">
        <v>12</v>
      </c>
      <c r="E3" s="3" t="s">
        <v>13</v>
      </c>
      <c r="F3" s="3">
        <v>1.0</v>
      </c>
    </row>
    <row r="4" ht="22.5" customHeight="1">
      <c r="A4" s="3">
        <v>1003.0</v>
      </c>
      <c r="B4" s="3" t="s">
        <v>14</v>
      </c>
      <c r="C4" s="3" t="s">
        <v>15</v>
      </c>
      <c r="D4" s="3" t="s">
        <v>8</v>
      </c>
      <c r="E4" s="3" t="s">
        <v>16</v>
      </c>
      <c r="F4" s="3">
        <v>0.0</v>
      </c>
    </row>
    <row r="5" ht="22.5" customHeight="1">
      <c r="A5" s="3">
        <v>1004.0</v>
      </c>
      <c r="B5" s="3" t="s">
        <v>17</v>
      </c>
      <c r="C5" s="3" t="s">
        <v>11</v>
      </c>
      <c r="D5" s="3" t="s">
        <v>18</v>
      </c>
      <c r="E5" s="3" t="s">
        <v>9</v>
      </c>
      <c r="F5" s="3">
        <v>0.0</v>
      </c>
    </row>
    <row r="6" ht="22.5" customHeight="1">
      <c r="A6" s="3">
        <v>1005.0</v>
      </c>
      <c r="B6" s="3" t="s">
        <v>19</v>
      </c>
      <c r="C6" s="3" t="s">
        <v>15</v>
      </c>
      <c r="D6" s="3" t="s">
        <v>20</v>
      </c>
      <c r="E6" s="3" t="s">
        <v>16</v>
      </c>
      <c r="F6" s="3">
        <v>1.0</v>
      </c>
    </row>
    <row r="7" ht="22.5" customHeight="1">
      <c r="A7" s="3">
        <v>1006.0</v>
      </c>
      <c r="B7" s="3" t="s">
        <v>21</v>
      </c>
      <c r="C7" s="3" t="s">
        <v>15</v>
      </c>
      <c r="D7" s="3" t="s">
        <v>18</v>
      </c>
      <c r="E7" s="3" t="s">
        <v>22</v>
      </c>
      <c r="F7" s="3">
        <v>1.0</v>
      </c>
    </row>
    <row r="8" ht="22.5" customHeight="1">
      <c r="A8" s="3">
        <v>1007.0</v>
      </c>
      <c r="B8" s="3" t="s">
        <v>23</v>
      </c>
      <c r="C8" s="3" t="s">
        <v>11</v>
      </c>
      <c r="D8" s="3" t="s">
        <v>24</v>
      </c>
      <c r="E8" s="3" t="s">
        <v>13</v>
      </c>
      <c r="F8" s="3">
        <v>1.0</v>
      </c>
    </row>
    <row r="9" ht="22.5" customHeight="1">
      <c r="A9" s="3">
        <v>1008.0</v>
      </c>
      <c r="B9" s="3" t="s">
        <v>25</v>
      </c>
      <c r="C9" s="3" t="s">
        <v>11</v>
      </c>
      <c r="D9" s="3" t="s">
        <v>8</v>
      </c>
      <c r="E9" s="3" t="s">
        <v>16</v>
      </c>
      <c r="F9" s="3">
        <v>1.0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38"/>
    <col customWidth="1" min="3" max="3" width="15.13"/>
    <col customWidth="1" min="4" max="4" width="15.88"/>
  </cols>
  <sheetData>
    <row r="1" ht="22.5" customHeight="1">
      <c r="A1" s="1" t="s">
        <v>26</v>
      </c>
      <c r="B1" s="1" t="s">
        <v>27</v>
      </c>
      <c r="C1" s="1" t="s">
        <v>28</v>
      </c>
      <c r="D1" s="1" t="s">
        <v>29</v>
      </c>
    </row>
    <row r="2" ht="22.5" customHeight="1">
      <c r="A2" s="3">
        <v>1001.0</v>
      </c>
      <c r="B2" s="3" t="s">
        <v>30</v>
      </c>
      <c r="C2" s="3">
        <v>1.0</v>
      </c>
      <c r="D2" s="3" t="s">
        <v>31</v>
      </c>
    </row>
    <row r="3" ht="22.5" customHeight="1">
      <c r="A3" s="3">
        <v>1002.0</v>
      </c>
      <c r="B3" s="3" t="s">
        <v>32</v>
      </c>
      <c r="C3" s="3">
        <v>0.0</v>
      </c>
      <c r="D3" s="3" t="s">
        <v>7</v>
      </c>
    </row>
    <row r="4" ht="22.5" customHeight="1">
      <c r="A4" s="3">
        <v>1003.0</v>
      </c>
      <c r="B4" s="3" t="s">
        <v>33</v>
      </c>
      <c r="C4" s="3">
        <v>0.0</v>
      </c>
      <c r="D4" s="3" t="s">
        <v>7</v>
      </c>
    </row>
    <row r="5" ht="22.5" customHeight="1">
      <c r="A5" s="3">
        <v>1004.0</v>
      </c>
      <c r="B5" s="3" t="s">
        <v>34</v>
      </c>
      <c r="C5" s="3">
        <v>0.0</v>
      </c>
      <c r="D5" s="3" t="s">
        <v>31</v>
      </c>
    </row>
    <row r="6" ht="22.5" customHeight="1">
      <c r="A6" s="3">
        <v>1005.0</v>
      </c>
      <c r="B6" s="3" t="s">
        <v>30</v>
      </c>
      <c r="C6" s="3">
        <v>1.0</v>
      </c>
      <c r="D6" s="3" t="s">
        <v>31</v>
      </c>
    </row>
    <row r="7" ht="22.5" customHeight="1">
      <c r="A7" s="3">
        <v>1006.0</v>
      </c>
      <c r="B7" s="3" t="s">
        <v>30</v>
      </c>
      <c r="C7" s="3">
        <v>1.0</v>
      </c>
      <c r="D7" s="3" t="s">
        <v>31</v>
      </c>
    </row>
    <row r="8" ht="22.5" customHeight="1">
      <c r="A8" s="3">
        <v>1007.0</v>
      </c>
      <c r="B8" s="3" t="s">
        <v>30</v>
      </c>
      <c r="C8" s="3">
        <v>0.0</v>
      </c>
      <c r="D8" s="3" t="s">
        <v>7</v>
      </c>
    </row>
    <row r="9" ht="22.5" customHeight="1">
      <c r="A9" s="3">
        <v>1008.0</v>
      </c>
      <c r="B9" s="3" t="s">
        <v>32</v>
      </c>
      <c r="C9" s="3">
        <v>0.0</v>
      </c>
      <c r="D9" s="3" t="s">
        <v>7</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35</v>
      </c>
    </row>
    <row r="4">
      <c r="A4" s="4" t="s">
        <v>36</v>
      </c>
      <c r="B4" s="4"/>
    </row>
    <row r="5">
      <c r="A5" s="4"/>
    </row>
    <row r="7">
      <c r="A7" s="4" t="s">
        <v>37</v>
      </c>
    </row>
    <row r="8">
      <c r="A8" s="5" t="str">
        <f>IFERROR(__xludf.DUMMYFUNCTION("FILTER(
  MASTER!B2:B1003,
  MASTER!F2:F1003 = 1,
  MASTER!C2:C1003 = ""A"",
    MATCH(
      MASTER!A2:A1003,
      FILTER(
        IPPEXPN!A2:A1003,
        IPPEXPN!C2:C1003 = 1,
        REGEXMATCH(IPPEXPN!B2:B1003, ""Sex Offender"")
      )
  )
)
"),"Robert Lee")</f>
        <v>Robert Lee</v>
      </c>
    </row>
    <row r="9">
      <c r="A9" s="5" t="str">
        <f>IFERROR(__xludf.DUMMYFUNCTION("""COMPUTED_VALUE"""),"Daniel Anderson")</f>
        <v>Daniel Anderson</v>
      </c>
    </row>
    <row r="10">
      <c r="A10" s="5" t="str">
        <f>IFERROR(__xludf.DUMMYFUNCTION("""COMPUTED_VALUE"""),"Alex Han")</f>
        <v>Alex Han</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38</v>
      </c>
    </row>
    <row r="3">
      <c r="A3" s="4"/>
    </row>
    <row r="4">
      <c r="A4" s="4" t="s">
        <v>39</v>
      </c>
    </row>
    <row r="7">
      <c r="A7" s="4" t="s">
        <v>40</v>
      </c>
    </row>
    <row r="10">
      <c r="A10" s="4" t="s">
        <v>41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42</v>
      </c>
    </row>
    <row r="3">
      <c r="A3" s="4" t="s">
        <v>43</v>
      </c>
    </row>
    <row r="4">
      <c r="A4" s="4"/>
    </row>
    <row r="5">
      <c r="A5" s="4"/>
    </row>
    <row r="6">
      <c r="A6" s="4" t="s">
        <v>44</v>
      </c>
    </row>
    <row r="7">
      <c r="A7" s="4"/>
    </row>
    <row r="8">
      <c r="A8" s="4"/>
    </row>
    <row r="9">
      <c r="A9" s="4" t="s">
        <v>41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45</v>
      </c>
    </row>
    <row r="3">
      <c r="A3" s="4" t="s">
        <v>46</v>
      </c>
    </row>
    <row r="6">
      <c r="A6" s="4" t="s">
        <v>47</v>
      </c>
    </row>
    <row r="8">
      <c r="A8" s="4" t="s">
        <v>48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49</v>
      </c>
    </row>
    <row r="4">
      <c r="A4" s="4" t="s">
        <v>50</v>
      </c>
    </row>
    <row r="7">
      <c r="A7" s="4" t="s">
        <v>51</v>
      </c>
    </row>
    <row r="10">
      <c r="A10" s="4" t="s">
        <v>48</v>
      </c>
    </row>
  </sheetData>
  <drawing r:id="rId1"/>
</worksheet>
</file>